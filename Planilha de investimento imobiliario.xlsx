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6453bdba539b43/Área de Trabalho/"/>
    </mc:Choice>
  </mc:AlternateContent>
  <xr:revisionPtr revIDLastSave="0" documentId="8_{C0280B97-D0CB-4425-B8CC-FB7BB9A2D9E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492B9691-2322-4057-B1AD-C3E148F61780}"/>
  </bookViews>
  <sheets>
    <sheet name="Self invest" sheetId="1" r:id="rId1"/>
    <sheet name="report" sheetId="2" r:id="rId2"/>
  </sheets>
  <definedNames>
    <definedName name="aporte">'Self invest'!$D$10</definedName>
    <definedName name="patrimonio">'Self invest'!$D$13</definedName>
    <definedName name="percentual_salario">'Self invest'!$D$6</definedName>
    <definedName name="qtd_anos">'Self invest'!$D$11</definedName>
    <definedName name="rendimento_carteira">'Self invest'!$D$5</definedName>
    <definedName name="salario">'Self invest'!$D$4</definedName>
    <definedName name="taxa">'Self invest'!$D$12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  <c r="C29" i="1"/>
  <c r="C30" i="1"/>
  <c r="C31" i="1"/>
  <c r="D31" i="1" s="1"/>
  <c r="C32" i="1"/>
  <c r="D32" i="1" s="1"/>
  <c r="C27" i="1"/>
  <c r="D27" i="1" s="1"/>
  <c r="A10" i="2"/>
  <c r="A11" i="2"/>
  <c r="A12" i="2"/>
  <c r="A13" i="2"/>
  <c r="A14" i="2"/>
  <c r="A15" i="2"/>
  <c r="A16" i="2"/>
  <c r="A17" i="2"/>
  <c r="A18" i="2"/>
  <c r="A19" i="2"/>
  <c r="A20" i="2"/>
  <c r="A21" i="2"/>
  <c r="A4" i="2"/>
  <c r="A5" i="2"/>
  <c r="A6" i="2"/>
  <c r="A7" i="2"/>
  <c r="A8" i="2"/>
  <c r="A9" i="2"/>
  <c r="D24" i="1"/>
  <c r="D7" i="1"/>
  <c r="D13" i="1"/>
  <c r="D14" i="1" s="1"/>
  <c r="C18" i="1"/>
  <c r="D18" i="1" s="1"/>
  <c r="C19" i="1"/>
  <c r="D19" i="1" s="1"/>
  <c r="C20" i="1"/>
  <c r="D20" i="1" s="1"/>
  <c r="C21" i="1"/>
  <c r="D21" i="1" s="1"/>
  <c r="C17" i="1"/>
  <c r="D17" i="1" s="1"/>
  <c r="D30" i="1" l="1"/>
  <c r="D29" i="1"/>
  <c r="D28" i="1"/>
  <c r="D33" i="1"/>
</calcChain>
</file>

<file path=xl/sharedStrings.xml><?xml version="1.0" encoding="utf-8"?>
<sst xmlns="http://schemas.openxmlformats.org/spreadsheetml/2006/main" count="70" uniqueCount="35">
  <si>
    <t>Quanto investir por mês?</t>
  </si>
  <si>
    <t>Por quantos anos?</t>
  </si>
  <si>
    <t>Taxa de rendimento mensal?</t>
  </si>
  <si>
    <t>Patrimonio acumulado</t>
  </si>
  <si>
    <t>Diviendos mensais</t>
  </si>
  <si>
    <t>Quanto em 2 anos</t>
  </si>
  <si>
    <t>Quanto em 5 anos</t>
  </si>
  <si>
    <t>Quanto em 10 anos</t>
  </si>
  <si>
    <t xml:space="preserve">Quanto em 20 anos </t>
  </si>
  <si>
    <t>Quanto em 30 anos</t>
  </si>
  <si>
    <t>Cenarios</t>
  </si>
  <si>
    <t>Dividendo</t>
  </si>
  <si>
    <t>Configurações</t>
  </si>
  <si>
    <t>Rendimento carteira</t>
  </si>
  <si>
    <t>Salário</t>
  </si>
  <si>
    <t>Sugestão de investimento</t>
  </si>
  <si>
    <t>Percentual do salario a investir</t>
  </si>
  <si>
    <t>Investimento Mensal</t>
  </si>
  <si>
    <t>Perfil</t>
  </si>
  <si>
    <t>Moderado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</si>
  <si>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</si>
  <si>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</si>
  <si>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</si>
  <si>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</si>
  <si>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</si>
  <si>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</si>
  <si>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</si>
  <si>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</si>
  <si>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</si>
  <si>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</si>
  <si>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</si>
  <si>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Conservador</t>
  </si>
  <si>
    <t>Percentual</t>
  </si>
  <si>
    <t>Chave</t>
  </si>
  <si>
    <t>Perfil de Investidor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</si>
</sst>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9" formatCode="&quot;R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DLaM Display"/>
    </font>
    <font>
      <sz val="12"/>
      <color theme="1"/>
      <name val="Aptos Narrow"/>
      <family val="2"/>
      <scheme val="minor"/>
    </font>
    <font>
      <b/>
      <sz val="20"/>
      <color theme="0"/>
      <name val="Aharoni"/>
      <charset val="177"/>
    </font>
    <font>
      <b/>
      <sz val="14"/>
      <color theme="0"/>
      <name val="Aharoni"/>
      <charset val="177"/>
    </font>
    <font>
      <sz val="14"/>
      <color theme="0"/>
      <name val="Aharoni"/>
      <charset val="177"/>
    </font>
    <font>
      <sz val="14"/>
      <color theme="1"/>
      <name val="Aharoni"/>
      <charset val="177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3"/>
      <color theme="1"/>
      <name val="Segoe UI"/>
      <family val="2"/>
    </font>
    <font>
      <b/>
      <sz val="13"/>
      <color theme="1"/>
      <name val="Segoe UI"/>
      <family val="2"/>
    </font>
    <font>
      <sz val="14"/>
      <color rgb="FF9C5700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3333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/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medium">
        <color theme="1"/>
      </right>
      <top style="medium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/>
      <right style="thin">
        <color theme="0" tint="-0.24994659260841701"/>
      </right>
      <top style="medium">
        <color theme="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3">
    <xf numFmtId="0" fontId="0" fillId="0" borderId="0" xfId="0"/>
    <xf numFmtId="0" fontId="0" fillId="3" borderId="0" xfId="0" applyFill="1"/>
    <xf numFmtId="0" fontId="4" fillId="3" borderId="0" xfId="0" applyFont="1" applyFill="1"/>
    <xf numFmtId="0" fontId="0" fillId="0" borderId="0" xfId="0" applyBorder="1"/>
    <xf numFmtId="0" fontId="3" fillId="0" borderId="0" xfId="0" applyFont="1"/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4" borderId="3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0" fillId="7" borderId="0" xfId="0" applyFill="1"/>
    <xf numFmtId="0" fontId="4" fillId="7" borderId="0" xfId="0" applyFont="1" applyFill="1"/>
    <xf numFmtId="0" fontId="9" fillId="6" borderId="1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/>
    </xf>
    <xf numFmtId="0" fontId="11" fillId="5" borderId="15" xfId="0" applyFont="1" applyFill="1" applyBorder="1" applyAlignment="1">
      <alignment horizontal="center"/>
    </xf>
    <xf numFmtId="169" fontId="11" fillId="5" borderId="11" xfId="0" applyNumberFormat="1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8" fontId="11" fillId="5" borderId="9" xfId="0" applyNumberFormat="1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5" borderId="15" xfId="0" applyFont="1" applyFill="1" applyBorder="1" applyAlignment="1">
      <alignment horizontal="center"/>
    </xf>
    <xf numFmtId="8" fontId="11" fillId="5" borderId="11" xfId="0" applyNumberFormat="1" applyFont="1" applyFill="1" applyBorder="1" applyAlignment="1">
      <alignment horizontal="center"/>
    </xf>
    <xf numFmtId="0" fontId="10" fillId="5" borderId="6" xfId="0" applyFont="1" applyFill="1" applyBorder="1"/>
    <xf numFmtId="8" fontId="10" fillId="5" borderId="13" xfId="0" applyNumberFormat="1" applyFont="1" applyFill="1" applyBorder="1" applyAlignment="1">
      <alignment horizontal="center"/>
    </xf>
    <xf numFmtId="8" fontId="10" fillId="5" borderId="7" xfId="0" applyNumberFormat="1" applyFont="1" applyFill="1" applyBorder="1" applyAlignment="1">
      <alignment horizontal="center"/>
    </xf>
    <xf numFmtId="0" fontId="10" fillId="5" borderId="8" xfId="0" applyFont="1" applyFill="1" applyBorder="1"/>
    <xf numFmtId="8" fontId="10" fillId="5" borderId="14" xfId="0" applyNumberFormat="1" applyFont="1" applyFill="1" applyBorder="1" applyAlignment="1">
      <alignment horizontal="center"/>
    </xf>
    <xf numFmtId="8" fontId="10" fillId="5" borderId="9" xfId="0" applyNumberFormat="1" applyFont="1" applyFill="1" applyBorder="1" applyAlignment="1">
      <alignment horizontal="center"/>
    </xf>
    <xf numFmtId="0" fontId="10" fillId="5" borderId="10" xfId="0" applyFont="1" applyFill="1" applyBorder="1"/>
    <xf numFmtId="8" fontId="10" fillId="5" borderId="15" xfId="0" applyNumberFormat="1" applyFont="1" applyFill="1" applyBorder="1" applyAlignment="1">
      <alignment horizontal="center"/>
    </xf>
    <xf numFmtId="8" fontId="10" fillId="5" borderId="11" xfId="0" applyNumberFormat="1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10" fillId="8" borderId="14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8" borderId="13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14" xfId="0" applyFont="1" applyFill="1" applyBorder="1" applyAlignment="1">
      <alignment horizontal="center"/>
    </xf>
    <xf numFmtId="0" fontId="10" fillId="5" borderId="0" xfId="0" applyFont="1" applyFill="1" applyBorder="1"/>
    <xf numFmtId="0" fontId="0" fillId="8" borderId="0" xfId="0" applyFill="1"/>
    <xf numFmtId="0" fontId="14" fillId="2" borderId="0" xfId="3" applyFont="1" applyBorder="1"/>
    <xf numFmtId="0" fontId="14" fillId="2" borderId="0" xfId="3" applyFont="1"/>
    <xf numFmtId="0" fontId="0" fillId="5" borderId="0" xfId="0" applyFill="1"/>
    <xf numFmtId="169" fontId="0" fillId="5" borderId="0" xfId="0" applyNumberFormat="1" applyFill="1"/>
    <xf numFmtId="0" fontId="15" fillId="9" borderId="0" xfId="0" applyFont="1" applyFill="1"/>
    <xf numFmtId="9" fontId="0" fillId="8" borderId="0" xfId="0" applyNumberFormat="1" applyFill="1" applyAlignment="1">
      <alignment horizontal="center"/>
    </xf>
    <xf numFmtId="0" fontId="5" fillId="5" borderId="0" xfId="0" applyFont="1" applyFill="1"/>
    <xf numFmtId="9" fontId="0" fillId="7" borderId="0" xfId="0" applyNumberFormat="1" applyFill="1" applyAlignment="1">
      <alignment horizontal="center"/>
    </xf>
    <xf numFmtId="0" fontId="0" fillId="7" borderId="5" xfId="0" applyFill="1" applyBorder="1"/>
    <xf numFmtId="9" fontId="0" fillId="7" borderId="5" xfId="0" applyNumberFormat="1" applyFill="1" applyBorder="1" applyAlignment="1">
      <alignment horizontal="center"/>
    </xf>
    <xf numFmtId="0" fontId="0" fillId="7" borderId="4" xfId="0" applyFill="1" applyBorder="1"/>
    <xf numFmtId="0" fontId="0" fillId="7" borderId="0" xfId="0" applyFill="1" applyBorder="1"/>
    <xf numFmtId="9" fontId="0" fillId="7" borderId="4" xfId="2" applyFont="1" applyFill="1" applyBorder="1" applyAlignment="1">
      <alignment horizontal="center"/>
    </xf>
    <xf numFmtId="9" fontId="0" fillId="7" borderId="0" xfId="2" applyFont="1" applyFill="1" applyBorder="1" applyAlignment="1">
      <alignment horizontal="center"/>
    </xf>
    <xf numFmtId="9" fontId="0" fillId="7" borderId="5" xfId="2" applyFont="1" applyFill="1" applyBorder="1" applyAlignment="1">
      <alignment horizontal="center"/>
    </xf>
    <xf numFmtId="9" fontId="0" fillId="7" borderId="0" xfId="2" applyFont="1" applyFill="1" applyAlignment="1">
      <alignment horizontal="center"/>
    </xf>
    <xf numFmtId="9" fontId="0" fillId="0" borderId="0" xfId="2" applyFont="1" applyAlignment="1">
      <alignment horizontal="center"/>
    </xf>
    <xf numFmtId="44" fontId="16" fillId="5" borderId="0" xfId="1" applyFont="1" applyFill="1" applyAlignment="1">
      <alignment horizontal="center"/>
    </xf>
    <xf numFmtId="169" fontId="0" fillId="8" borderId="0" xfId="1" applyNumberFormat="1" applyFont="1" applyFill="1" applyAlignment="1">
      <alignment horizontal="center"/>
    </xf>
    <xf numFmtId="0" fontId="10" fillId="8" borderId="6" xfId="0" applyFont="1" applyFill="1" applyBorder="1" applyAlignment="1" applyProtection="1">
      <alignment horizontal="center"/>
      <protection locked="0" hidden="1"/>
    </xf>
    <xf numFmtId="0" fontId="10" fillId="8" borderId="13" xfId="0" applyFont="1" applyFill="1" applyBorder="1" applyAlignment="1" applyProtection="1">
      <alignment horizontal="center"/>
      <protection locked="0" hidden="1"/>
    </xf>
    <xf numFmtId="169" fontId="10" fillId="0" borderId="9" xfId="1" applyNumberFormat="1" applyFont="1" applyBorder="1" applyAlignment="1" applyProtection="1">
      <alignment horizontal="center"/>
      <protection locked="0"/>
    </xf>
    <xf numFmtId="10" fontId="10" fillId="0" borderId="9" xfId="2" applyNumberFormat="1" applyFont="1" applyBorder="1" applyAlignment="1" applyProtection="1">
      <alignment horizontal="center"/>
      <protection locked="0"/>
    </xf>
    <xf numFmtId="9" fontId="10" fillId="0" borderId="9" xfId="2" applyFont="1" applyBorder="1" applyAlignment="1" applyProtection="1">
      <alignment horizontal="center"/>
      <protection locked="0"/>
    </xf>
    <xf numFmtId="169" fontId="11" fillId="0" borderId="7" xfId="1" applyNumberFormat="1" applyFont="1" applyBorder="1" applyAlignment="1" applyProtection="1">
      <alignment horizontal="center"/>
      <protection locked="0"/>
    </xf>
    <xf numFmtId="1" fontId="11" fillId="0" borderId="9" xfId="0" applyNumberFormat="1" applyFont="1" applyBorder="1" applyAlignment="1" applyProtection="1">
      <alignment horizontal="center"/>
      <protection locked="0"/>
    </xf>
    <xf numFmtId="10" fontId="11" fillId="0" borderId="9" xfId="2" applyNumberFormat="1" applyFont="1" applyBorder="1" applyAlignment="1" applyProtection="1">
      <alignment horizontal="center"/>
      <protection locked="0"/>
    </xf>
    <xf numFmtId="0" fontId="2" fillId="2" borderId="1" xfId="3" applyBorder="1" applyProtection="1">
      <protection locked="0"/>
    </xf>
    <xf numFmtId="0" fontId="3" fillId="10" borderId="0" xfId="0" applyFont="1" applyFill="1"/>
    <xf numFmtId="0" fontId="3" fillId="10" borderId="0" xfId="0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83994</xdr:colOff>
      <xdr:row>0</xdr:row>
      <xdr:rowOff>0</xdr:rowOff>
    </xdr:from>
    <xdr:to>
      <xdr:col>1</xdr:col>
      <xdr:colOff>912669</xdr:colOff>
      <xdr:row>1</xdr:row>
      <xdr:rowOff>9525</xdr:rowOff>
    </xdr:to>
    <xdr:pic>
      <xdr:nvPicPr>
        <xdr:cNvPr id="3" name="Gráfico 2" descr="Cofrinho com preenchimento sólido">
          <a:extLst>
            <a:ext uri="{FF2B5EF4-FFF2-40B4-BE49-F238E27FC236}">
              <a16:creationId xmlns:a16="http://schemas.microsoft.com/office/drawing/2014/main" id="{22B4E389-FD56-C245-E2EA-F754D19B7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4380" y="0"/>
          <a:ext cx="828675" cy="832139"/>
        </a:xfrm>
        <a:prstGeom prst="rect">
          <a:avLst/>
        </a:prstGeom>
      </xdr:spPr>
    </xdr:pic>
    <xdr:clientData/>
  </xdr:twoCellAnchor>
  <xdr:twoCellAnchor editAs="absolute">
    <xdr:from>
      <xdr:col>1</xdr:col>
      <xdr:colOff>1316181</xdr:colOff>
      <xdr:row>0</xdr:row>
      <xdr:rowOff>114300</xdr:rowOff>
    </xdr:from>
    <xdr:to>
      <xdr:col>3</xdr:col>
      <xdr:colOff>74468</xdr:colOff>
      <xdr:row>0</xdr:row>
      <xdr:rowOff>752475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AD12959-BDBC-EB3C-9610-39D05E00E431}"/>
            </a:ext>
          </a:extLst>
        </xdr:cNvPr>
        <xdr:cNvSpPr txBox="1"/>
      </xdr:nvSpPr>
      <xdr:spPr>
        <a:xfrm>
          <a:off x="1636567" y="114300"/>
          <a:ext cx="3061856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4000" b="1">
              <a:solidFill>
                <a:schemeClr val="bg1"/>
              </a:solidFill>
              <a:latin typeface="Aharoni" panose="02010803020104030203" pitchFamily="2" charset="-79"/>
              <a:ea typeface="ADLaM Display" panose="02010000000000000000" pitchFamily="2" charset="0"/>
              <a:cs typeface="Aharoni" panose="02010803020104030203" pitchFamily="2" charset="-79"/>
            </a:rPr>
            <a:t>SELF</a:t>
          </a:r>
          <a:r>
            <a:rPr lang="pt-BR" sz="4000" b="1" baseline="0">
              <a:solidFill>
                <a:schemeClr val="bg1"/>
              </a:solidFill>
              <a:latin typeface="Aharoni" panose="02010803020104030203" pitchFamily="2" charset="-79"/>
              <a:ea typeface="ADLaM Display" panose="02010000000000000000" pitchFamily="2" charset="0"/>
              <a:cs typeface="Aharoni" panose="02010803020104030203" pitchFamily="2" charset="-79"/>
            </a:rPr>
            <a:t> INVEST</a:t>
          </a:r>
          <a:endParaRPr lang="pt-BR" sz="4000" b="1">
            <a:solidFill>
              <a:schemeClr val="bg1"/>
            </a:solidFill>
            <a:latin typeface="Aharoni" panose="02010803020104030203" pitchFamily="2" charset="-79"/>
            <a:ea typeface="ADLaM Display" panose="02010000000000000000" pitchFamily="2" charset="0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3</xdr:col>
      <xdr:colOff>427759</xdr:colOff>
      <xdr:row>0</xdr:row>
      <xdr:rowOff>0</xdr:rowOff>
    </xdr:from>
    <xdr:to>
      <xdr:col>4</xdr:col>
      <xdr:colOff>205220</xdr:colOff>
      <xdr:row>1</xdr:row>
      <xdr:rowOff>0</xdr:rowOff>
    </xdr:to>
    <xdr:pic>
      <xdr:nvPicPr>
        <xdr:cNvPr id="6" name="Gráfico 5" descr="Gráfico de barras com tendência ascendente com preenchimento sólido">
          <a:extLst>
            <a:ext uri="{FF2B5EF4-FFF2-40B4-BE49-F238E27FC236}">
              <a16:creationId xmlns:a16="http://schemas.microsoft.com/office/drawing/2014/main" id="{D5D13563-47F3-A9F2-91B7-3428227DB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051714" y="0"/>
          <a:ext cx="831272" cy="8226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6570-AF12-4181-BD51-144CB5EB5341}">
  <sheetPr>
    <pageSetUpPr autoPageBreaks="0"/>
  </sheetPr>
  <dimension ref="A1:H52"/>
  <sheetViews>
    <sheetView showGridLines="0" showRowColHeaders="0" tabSelected="1" topLeftCell="A10" zoomScale="110" zoomScaleNormal="110" workbookViewId="0">
      <selection activeCell="D5" sqref="D5"/>
    </sheetView>
  </sheetViews>
  <sheetFormatPr defaultColWidth="0" defaultRowHeight="15" zeroHeight="1" x14ac:dyDescent="0.25"/>
  <cols>
    <col min="1" max="1" width="4.85546875" customWidth="1"/>
    <col min="2" max="2" width="29" bestFit="1" customWidth="1"/>
    <col min="3" max="3" width="35.5703125" customWidth="1"/>
    <col min="4" max="4" width="14.85546875" bestFit="1" customWidth="1"/>
    <col min="5" max="5" width="7.42578125" customWidth="1"/>
    <col min="6" max="6" width="3.140625" hidden="1" customWidth="1"/>
    <col min="7" max="7" width="6" hidden="1" customWidth="1"/>
    <col min="8" max="8" width="3.5703125" hidden="1" customWidth="1"/>
    <col min="9" max="16384" width="9.140625" hidden="1"/>
  </cols>
  <sheetData>
    <row r="1" spans="1:4" s="1" customFormat="1" ht="64.5" customHeight="1" x14ac:dyDescent="0.3">
      <c r="C1" s="2"/>
    </row>
    <row r="2" spans="1:4" s="11" customFormat="1" ht="17.25" thickBot="1" x14ac:dyDescent="0.35">
      <c r="C2" s="12"/>
    </row>
    <row r="3" spans="1:4" s="11" customFormat="1" ht="18.75" x14ac:dyDescent="0.25">
      <c r="B3" s="15" t="s">
        <v>12</v>
      </c>
      <c r="C3" s="16"/>
      <c r="D3" s="13"/>
    </row>
    <row r="4" spans="1:4" s="11" customFormat="1" ht="16.5" x14ac:dyDescent="0.3">
      <c r="B4" s="62" t="s">
        <v>14</v>
      </c>
      <c r="C4" s="63"/>
      <c r="D4" s="64">
        <v>5000</v>
      </c>
    </row>
    <row r="5" spans="1:4" s="11" customFormat="1" ht="16.5" x14ac:dyDescent="0.3">
      <c r="B5" s="35" t="s">
        <v>13</v>
      </c>
      <c r="C5" s="36"/>
      <c r="D5" s="65">
        <v>6.0000000000000001E-3</v>
      </c>
    </row>
    <row r="6" spans="1:4" s="11" customFormat="1" ht="16.5" x14ac:dyDescent="0.3">
      <c r="B6" s="35" t="s">
        <v>16</v>
      </c>
      <c r="C6" s="36"/>
      <c r="D6" s="66">
        <v>0.15</v>
      </c>
    </row>
    <row r="7" spans="1:4" s="11" customFormat="1" ht="17.25" thickBot="1" x14ac:dyDescent="0.35">
      <c r="B7" s="17" t="s">
        <v>15</v>
      </c>
      <c r="C7" s="18"/>
      <c r="D7" s="19">
        <f>salario*percentual_salario</f>
        <v>750</v>
      </c>
    </row>
    <row r="8" spans="1:4" s="11" customFormat="1" ht="17.25" thickBot="1" x14ac:dyDescent="0.35">
      <c r="C8" s="12"/>
    </row>
    <row r="9" spans="1:4" ht="35.25" customHeight="1" x14ac:dyDescent="0.25">
      <c r="B9" s="5" t="s">
        <v>17</v>
      </c>
      <c r="C9" s="6"/>
      <c r="D9" s="14"/>
    </row>
    <row r="10" spans="1:4" ht="18.75" x14ac:dyDescent="0.35">
      <c r="B10" s="37" t="s">
        <v>0</v>
      </c>
      <c r="C10" s="38"/>
      <c r="D10" s="67">
        <v>750</v>
      </c>
    </row>
    <row r="11" spans="1:4" ht="18.75" x14ac:dyDescent="0.35">
      <c r="B11" s="39" t="s">
        <v>1</v>
      </c>
      <c r="C11" s="40"/>
      <c r="D11" s="68">
        <v>5</v>
      </c>
    </row>
    <row r="12" spans="1:4" ht="18.75" x14ac:dyDescent="0.35">
      <c r="B12" s="39" t="s">
        <v>2</v>
      </c>
      <c r="C12" s="40"/>
      <c r="D12" s="69">
        <v>1.0789999999999999E-2</v>
      </c>
    </row>
    <row r="13" spans="1:4" ht="18.75" x14ac:dyDescent="0.35">
      <c r="B13" s="20" t="s">
        <v>3</v>
      </c>
      <c r="C13" s="21"/>
      <c r="D13" s="22">
        <f>FV(taxa,qtd_anos*12,aporte*-1)</f>
        <v>62832.685498865736</v>
      </c>
    </row>
    <row r="14" spans="1:4" ht="19.5" thickBot="1" x14ac:dyDescent="0.4">
      <c r="B14" s="23" t="s">
        <v>4</v>
      </c>
      <c r="C14" s="24"/>
      <c r="D14" s="25">
        <f>patrimonio*1%</f>
        <v>628.32685498865737</v>
      </c>
    </row>
    <row r="15" spans="1:4" ht="15.75" thickBot="1" x14ac:dyDescent="0.3">
      <c r="A15" s="3"/>
      <c r="B15" s="3"/>
      <c r="C15" s="3"/>
    </row>
    <row r="16" spans="1:4" ht="26.25" x14ac:dyDescent="0.25">
      <c r="B16" s="9" t="s">
        <v>10</v>
      </c>
      <c r="C16" s="10"/>
      <c r="D16" s="8" t="s">
        <v>11</v>
      </c>
    </row>
    <row r="17" spans="1:4" ht="16.5" x14ac:dyDescent="0.3">
      <c r="A17" s="4">
        <v>2</v>
      </c>
      <c r="B17" s="26" t="s">
        <v>5</v>
      </c>
      <c r="C17" s="27">
        <f>FV($D$12,$A17*12,$D$10*-1)</f>
        <v>20420.720473233912</v>
      </c>
      <c r="D17" s="28">
        <f>C17*rendimento_carteira</f>
        <v>122.52432283940348</v>
      </c>
    </row>
    <row r="18" spans="1:4" ht="16.5" x14ac:dyDescent="0.3">
      <c r="A18" s="4">
        <v>5</v>
      </c>
      <c r="B18" s="29" t="s">
        <v>6</v>
      </c>
      <c r="C18" s="30">
        <f>FV($D$12,$A18*12,$D$10*-1)</f>
        <v>62832.685498865736</v>
      </c>
      <c r="D18" s="31">
        <f>C18*rendimento_carteira</f>
        <v>376.9961129931944</v>
      </c>
    </row>
    <row r="19" spans="1:4" ht="16.5" x14ac:dyDescent="0.3">
      <c r="A19" s="4">
        <v>10</v>
      </c>
      <c r="B19" s="29" t="s">
        <v>7</v>
      </c>
      <c r="C19" s="30">
        <f>FV($D$12,$A19*12,$D$10*-1)</f>
        <v>182463.15939762915</v>
      </c>
      <c r="D19" s="31">
        <f>C19*rendimento_carteira</f>
        <v>1094.778956385775</v>
      </c>
    </row>
    <row r="20" spans="1:4" ht="16.5" x14ac:dyDescent="0.3">
      <c r="A20" s="4">
        <v>20</v>
      </c>
      <c r="B20" s="29" t="s">
        <v>8</v>
      </c>
      <c r="C20" s="30">
        <f>FV($D$12,$A20*12,$D$10*-1)</f>
        <v>843898.8000728105</v>
      </c>
      <c r="D20" s="31">
        <f>C20*rendimento_carteira</f>
        <v>5063.3928004368627</v>
      </c>
    </row>
    <row r="21" spans="1:4" ht="17.25" thickBot="1" x14ac:dyDescent="0.35">
      <c r="A21" s="4">
        <v>30</v>
      </c>
      <c r="B21" s="32" t="s">
        <v>9</v>
      </c>
      <c r="C21" s="33">
        <f>FV($D$12,$A21*12,$D$10*-1)</f>
        <v>3241627.2412535357</v>
      </c>
      <c r="D21" s="34">
        <f>C21*rendimento_carteira</f>
        <v>19449.763447521214</v>
      </c>
    </row>
    <row r="22" spans="1:4" x14ac:dyDescent="0.25"/>
    <row r="23" spans="1:4" ht="19.5" thickBot="1" x14ac:dyDescent="0.35">
      <c r="B23" s="43" t="s">
        <v>34</v>
      </c>
      <c r="C23" s="44"/>
      <c r="D23" s="70" t="s">
        <v>31</v>
      </c>
    </row>
    <row r="24" spans="1:4" ht="17.25" thickTop="1" x14ac:dyDescent="0.3">
      <c r="B24" s="41" t="s">
        <v>21</v>
      </c>
      <c r="C24" s="45"/>
      <c r="D24" s="46">
        <f>aporte</f>
        <v>750</v>
      </c>
    </row>
    <row r="25" spans="1:4" x14ac:dyDescent="0.25"/>
    <row r="26" spans="1:4" ht="18.75" x14ac:dyDescent="0.3">
      <c r="B26" s="47" t="s">
        <v>22</v>
      </c>
      <c r="C26" s="47" t="s">
        <v>23</v>
      </c>
      <c r="D26" s="47" t="s">
        <v>24</v>
      </c>
    </row>
    <row r="27" spans="1:4" x14ac:dyDescent="0.25">
      <c r="B27" s="42" t="s">
        <v>25</v>
      </c>
      <c r="C27" s="48">
        <f>VLOOKUP($D$23&amp;"-"&amp;B27,report!$A$3:$D$21,4,)</f>
        <v>0.3</v>
      </c>
      <c r="D27" s="61">
        <f>$D$24*C27</f>
        <v>225</v>
      </c>
    </row>
    <row r="28" spans="1:4" x14ac:dyDescent="0.25">
      <c r="B28" s="42" t="s">
        <v>26</v>
      </c>
      <c r="C28" s="48">
        <f>VLOOKUP($D$23&amp;"-"&amp;B28,report!$A$3:$D$21,4,)</f>
        <v>0.5</v>
      </c>
      <c r="D28" s="61">
        <f t="shared" ref="D28:D32" si="0">$D$24*C28</f>
        <v>375</v>
      </c>
    </row>
    <row r="29" spans="1:4" x14ac:dyDescent="0.25">
      <c r="B29" s="42" t="s">
        <v>27</v>
      </c>
      <c r="C29" s="48">
        <f>VLOOKUP($D$23&amp;"-"&amp;B29,report!$A$3:$D$21,4,)</f>
        <v>0.1</v>
      </c>
      <c r="D29" s="61">
        <f t="shared" si="0"/>
        <v>75</v>
      </c>
    </row>
    <row r="30" spans="1:4" x14ac:dyDescent="0.25">
      <c r="B30" s="42" t="s">
        <v>28</v>
      </c>
      <c r="C30" s="48">
        <f>VLOOKUP($D$23&amp;"-"&amp;B30,report!$A$3:$D$21,4,)</f>
        <v>0.1</v>
      </c>
      <c r="D30" s="61">
        <f t="shared" si="0"/>
        <v>75</v>
      </c>
    </row>
    <row r="31" spans="1:4" x14ac:dyDescent="0.25">
      <c r="B31" s="42" t="s">
        <v>29</v>
      </c>
      <c r="C31" s="48">
        <f>VLOOKUP($D$23&amp;"-"&amp;B31,report!$A$3:$D$21,4,)</f>
        <v>0</v>
      </c>
      <c r="D31" s="61">
        <f t="shared" si="0"/>
        <v>0</v>
      </c>
    </row>
    <row r="32" spans="1:4" x14ac:dyDescent="0.25">
      <c r="B32" s="42" t="s">
        <v>30</v>
      </c>
      <c r="C32" s="48">
        <f>VLOOKUP($D$23&amp;"-"&amp;B32,report!$A$3:$D$21,4,)</f>
        <v>0</v>
      </c>
      <c r="D32" s="61">
        <f t="shared" si="0"/>
        <v>0</v>
      </c>
    </row>
    <row r="33" spans="2:4" ht="15.75" x14ac:dyDescent="0.25">
      <c r="B33" s="49"/>
      <c r="C33" s="49"/>
      <c r="D33" s="60">
        <f>SUM(D27:D32)</f>
        <v>750</v>
      </c>
    </row>
    <row r="34" spans="2:4" x14ac:dyDescent="0.25"/>
    <row r="35" spans="2:4" x14ac:dyDescent="0.25"/>
    <row r="36" spans="2:4" x14ac:dyDescent="0.25"/>
    <row r="37" spans="2:4" x14ac:dyDescent="0.25"/>
    <row r="38" spans="2:4" x14ac:dyDescent="0.25"/>
    <row r="49" customFormat="1" hidden="1" x14ac:dyDescent="0.25"/>
    <row r="50" customFormat="1" hidden="1" x14ac:dyDescent="0.25"/>
    <row r="51" customFormat="1" hidden="1" x14ac:dyDescent="0.25"/>
    <row r="52" customFormat="1" hidden="1" x14ac:dyDescent="0.25"/>
  </sheetData>
  <sheetProtection sheet="1" objects="1" scenarios="1" selectLockedCells="1"/>
  <mergeCells count="12">
    <mergeCell ref="B3:C3"/>
    <mergeCell ref="B10:C10"/>
    <mergeCell ref="B11:C11"/>
    <mergeCell ref="B12:C12"/>
    <mergeCell ref="B13:C13"/>
    <mergeCell ref="B14:C14"/>
    <mergeCell ref="B4:C4"/>
    <mergeCell ref="B5:C5"/>
    <mergeCell ref="B6:C6"/>
    <mergeCell ref="B7:C7"/>
    <mergeCell ref="B16:C16"/>
    <mergeCell ref="B9:C9"/>
  </mergeCells>
  <dataValidations xWindow="669" yWindow="190" count="7">
    <dataValidation type="list" allowBlank="1" showInputMessage="1" showErrorMessage="1" promptTitle="Percentual do salário" prompt="Selecione a porcentagem do salário que você deseja investi para poder receber uma sugestão de quanto investir." sqref="D6" xr:uid="{20DA2EDD-5B25-4E30-BBCD-0714F5796B98}">
      <formula1>"5%,10%,15%,20%,25%,30%,"</formula1>
    </dataValidation>
    <dataValidation type="list" allowBlank="1" showInputMessage="1" showErrorMessage="1" promptTitle="Perfil de investidor" prompt="Informe que tipo de investidor você é." sqref="D23" xr:uid="{AFE0024C-888A-4195-88D4-12BD0C1DDA05}">
      <formula1>"Conservador, Moderado, Agressivo"</formula1>
    </dataValidation>
    <dataValidation allowBlank="1" showInputMessage="1" showErrorMessage="1" promptTitle="Seu salário" prompt="Informe seu salário aqui para iniciar." sqref="D4" xr:uid="{4A987A93-8368-4529-8F36-EC942CD09B57}"/>
    <dataValidation allowBlank="1" showInputMessage="1" showErrorMessage="1" promptTitle="Rendimento da carteira" prompt="Insira o percentual da carteira que deseja investir." sqref="D5" xr:uid="{4DEA8424-ACAD-4189-9AE8-A63ABFE2B04F}"/>
    <dataValidation allowBlank="1" showInputMessage="1" showErrorMessage="1" promptTitle="Invesimento mensal" prompt="Informe o valor que deseja investir por mês." sqref="D10" xr:uid="{2BC1B077-9413-4D20-B555-90E6922398F0}"/>
    <dataValidation allowBlank="1" showInputMessage="1" showErrorMessage="1" promptTitle="Periodo" prompt="Informe o período (em anos) que deseja investir" sqref="D11" xr:uid="{9B7D83C7-6545-4B75-B9CD-D2B94547221F}"/>
    <dataValidation allowBlank="1" showInputMessage="1" showErrorMessage="1" promptTitle="Taxa" prompt="Informe o valor da taxa de rendimento mensal." sqref="D12" xr:uid="{1D5EE7A3-9CB9-41E2-8654-FFBAC929C6BE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827D-FC08-4ECC-9803-06A72FE9F8FD}">
  <dimension ref="A3:D22"/>
  <sheetViews>
    <sheetView showGridLines="0" workbookViewId="0">
      <selection activeCell="D11" sqref="D11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10.42578125" style="7" bestFit="1" customWidth="1"/>
  </cols>
  <sheetData>
    <row r="3" spans="1:4" x14ac:dyDescent="0.25">
      <c r="A3" s="71" t="s">
        <v>33</v>
      </c>
      <c r="B3" s="71" t="s">
        <v>18</v>
      </c>
      <c r="C3" s="71" t="s">
        <v>22</v>
      </c>
      <c r="D3" s="72" t="s">
        <v>32</v>
      </c>
    </row>
    <row r="4" spans="1:4" x14ac:dyDescent="0.25">
      <c r="A4" s="11" t="str">
        <f>B4&amp;"-"&amp;C4</f>
        <v>Conservador-PAPEL</v>
      </c>
      <c r="B4" s="11" t="s">
        <v>31</v>
      </c>
      <c r="C4" s="11" t="s">
        <v>25</v>
      </c>
      <c r="D4" s="50">
        <v>0.3</v>
      </c>
    </row>
    <row r="5" spans="1:4" x14ac:dyDescent="0.25">
      <c r="A5" s="11" t="str">
        <f t="shared" ref="A5:A21" si="0">B5&amp;"-"&amp;C5</f>
        <v>Conservador-TIJOLO</v>
      </c>
      <c r="B5" s="11" t="s">
        <v>31</v>
      </c>
      <c r="C5" s="11" t="s">
        <v>26</v>
      </c>
      <c r="D5" s="50">
        <v>0.5</v>
      </c>
    </row>
    <row r="6" spans="1:4" x14ac:dyDescent="0.25">
      <c r="A6" s="11" t="str">
        <f t="shared" si="0"/>
        <v>Conservador-HIBRIDOS</v>
      </c>
      <c r="B6" s="11" t="s">
        <v>31</v>
      </c>
      <c r="C6" s="11" t="s">
        <v>27</v>
      </c>
      <c r="D6" s="50">
        <v>0.1</v>
      </c>
    </row>
    <row r="7" spans="1:4" x14ac:dyDescent="0.25">
      <c r="A7" s="11" t="str">
        <f t="shared" si="0"/>
        <v>Conservador-FOFs</v>
      </c>
      <c r="B7" s="11" t="s">
        <v>31</v>
      </c>
      <c r="C7" s="11" t="s">
        <v>28</v>
      </c>
      <c r="D7" s="50">
        <v>0.1</v>
      </c>
    </row>
    <row r="8" spans="1:4" x14ac:dyDescent="0.25">
      <c r="A8" s="11" t="str">
        <f t="shared" si="0"/>
        <v>Conservador-DESENVOLVIMENTO</v>
      </c>
      <c r="B8" s="11" t="s">
        <v>31</v>
      </c>
      <c r="C8" s="11" t="s">
        <v>29</v>
      </c>
      <c r="D8" s="50">
        <v>0</v>
      </c>
    </row>
    <row r="9" spans="1:4" ht="15.75" thickBot="1" x14ac:dyDescent="0.3">
      <c r="A9" s="51" t="str">
        <f t="shared" si="0"/>
        <v>Conservador-HOTELARIAS</v>
      </c>
      <c r="B9" s="51" t="s">
        <v>31</v>
      </c>
      <c r="C9" s="51" t="s">
        <v>30</v>
      </c>
      <c r="D9" s="52">
        <v>0</v>
      </c>
    </row>
    <row r="10" spans="1:4" x14ac:dyDescent="0.25">
      <c r="A10" s="53" t="str">
        <f t="shared" si="0"/>
        <v>Moderado-PAPEL</v>
      </c>
      <c r="B10" s="53" t="s">
        <v>19</v>
      </c>
      <c r="C10" s="53" t="s">
        <v>25</v>
      </c>
      <c r="D10" s="55">
        <v>0.32</v>
      </c>
    </row>
    <row r="11" spans="1:4" x14ac:dyDescent="0.25">
      <c r="A11" s="54" t="str">
        <f t="shared" si="0"/>
        <v>Moderado-TIJOLO</v>
      </c>
      <c r="B11" s="54" t="s">
        <v>19</v>
      </c>
      <c r="C11" s="54" t="s">
        <v>26</v>
      </c>
      <c r="D11" s="56">
        <v>0.35</v>
      </c>
    </row>
    <row r="12" spans="1:4" x14ac:dyDescent="0.25">
      <c r="A12" s="54" t="str">
        <f t="shared" si="0"/>
        <v>Moderado-HIBRIDOS</v>
      </c>
      <c r="B12" s="54" t="s">
        <v>19</v>
      </c>
      <c r="C12" s="54" t="s">
        <v>27</v>
      </c>
      <c r="D12" s="56">
        <v>0.08</v>
      </c>
    </row>
    <row r="13" spans="1:4" x14ac:dyDescent="0.25">
      <c r="A13" s="54" t="str">
        <f t="shared" si="0"/>
        <v>Moderado-FOFs</v>
      </c>
      <c r="B13" s="54" t="s">
        <v>19</v>
      </c>
      <c r="C13" s="54" t="s">
        <v>28</v>
      </c>
      <c r="D13" s="56">
        <v>0.1</v>
      </c>
    </row>
    <row r="14" spans="1:4" x14ac:dyDescent="0.25">
      <c r="A14" s="54" t="str">
        <f t="shared" si="0"/>
        <v>Moderado-DESENVOLVIMENTO</v>
      </c>
      <c r="B14" s="54" t="s">
        <v>19</v>
      </c>
      <c r="C14" s="54" t="s">
        <v>29</v>
      </c>
      <c r="D14" s="56">
        <v>0.1</v>
      </c>
    </row>
    <row r="15" spans="1:4" ht="15.75" thickBot="1" x14ac:dyDescent="0.3">
      <c r="A15" s="51" t="str">
        <f t="shared" si="0"/>
        <v>Moderado-HOTELARIAS</v>
      </c>
      <c r="B15" s="51" t="s">
        <v>19</v>
      </c>
      <c r="C15" s="51" t="s">
        <v>30</v>
      </c>
      <c r="D15" s="57">
        <v>0.05</v>
      </c>
    </row>
    <row r="16" spans="1:4" x14ac:dyDescent="0.25">
      <c r="A16" s="11" t="str">
        <f t="shared" si="0"/>
        <v>Agressivo-PAPEL</v>
      </c>
      <c r="B16" s="11" t="s">
        <v>20</v>
      </c>
      <c r="C16" s="11" t="s">
        <v>25</v>
      </c>
      <c r="D16" s="58">
        <v>0.4</v>
      </c>
    </row>
    <row r="17" spans="1:4" x14ac:dyDescent="0.25">
      <c r="A17" s="11" t="str">
        <f t="shared" si="0"/>
        <v>Agressivo-TIJOLO</v>
      </c>
      <c r="B17" s="11" t="s">
        <v>20</v>
      </c>
      <c r="C17" s="11" t="s">
        <v>26</v>
      </c>
      <c r="D17" s="58">
        <v>0.1</v>
      </c>
    </row>
    <row r="18" spans="1:4" x14ac:dyDescent="0.25">
      <c r="A18" s="11" t="str">
        <f t="shared" si="0"/>
        <v>Agressivo-HIBRIDOS</v>
      </c>
      <c r="B18" s="11" t="s">
        <v>20</v>
      </c>
      <c r="C18" s="11" t="s">
        <v>27</v>
      </c>
      <c r="D18" s="58">
        <v>0.05</v>
      </c>
    </row>
    <row r="19" spans="1:4" x14ac:dyDescent="0.25">
      <c r="A19" s="11" t="str">
        <f t="shared" si="0"/>
        <v>Agressivo-FOFs</v>
      </c>
      <c r="B19" s="11" t="s">
        <v>20</v>
      </c>
      <c r="C19" s="11" t="s">
        <v>28</v>
      </c>
      <c r="D19" s="58">
        <v>0.05</v>
      </c>
    </row>
    <row r="20" spans="1:4" x14ac:dyDescent="0.25">
      <c r="A20" s="11" t="str">
        <f t="shared" si="0"/>
        <v>Agressivo-DESENVOLVIMENTO</v>
      </c>
      <c r="B20" s="11" t="s">
        <v>20</v>
      </c>
      <c r="C20" s="11" t="s">
        <v>29</v>
      </c>
      <c r="D20" s="58">
        <v>0.25</v>
      </c>
    </row>
    <row r="21" spans="1:4" x14ac:dyDescent="0.25">
      <c r="A21" s="11" t="str">
        <f t="shared" si="0"/>
        <v>Agressivo-HOTELARIAS</v>
      </c>
      <c r="B21" s="11" t="s">
        <v>20</v>
      </c>
      <c r="C21" s="11" t="s">
        <v>30</v>
      </c>
      <c r="D21" s="58">
        <v>0.15</v>
      </c>
    </row>
    <row r="22" spans="1:4" x14ac:dyDescent="0.25">
      <c r="D22" s="5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Self invest</vt:lpstr>
      <vt:lpstr>report</vt:lpstr>
      <vt:lpstr>aporte</vt:lpstr>
      <vt:lpstr>patrimonio</vt:lpstr>
      <vt:lpstr>percentual_salario</vt:lpstr>
      <vt:lpstr>qtd_anos</vt:lpstr>
      <vt:lpstr>rendimento_carteira</vt:lpstr>
      <vt:lpstr>salario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jusousa632@gmail.com</dc:creator>
  <cp:lastModifiedBy>jusousa632@gmail.com</cp:lastModifiedBy>
  <dcterms:created xsi:type="dcterms:W3CDTF">2026-09-30T01:46:38Z</dcterms:created>
  <dcterms:modified xsi:type="dcterms:W3CDTF">2026-10-01T23:52:37Z</dcterms:modified>
</cp:coreProperties>
</file>